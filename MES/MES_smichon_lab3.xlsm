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iszmo/Documents/Dev/"/>
    </mc:Choice>
  </mc:AlternateContent>
  <xr:revisionPtr revIDLastSave="0" documentId="13_ncr:1_{4D827AB1-3ABA-544B-BB4D-BDC39A34E4DC}" xr6:coauthVersionLast="47" xr6:coauthVersionMax="47" xr10:uidLastSave="{00000000-0000-0000-0000-000000000000}"/>
  <bookViews>
    <workbookView xWindow="0" yWindow="500" windowWidth="28800" windowHeight="16020" xr2:uid="{37A45A75-7FA8-4E7E-93D9-0964B8331514}"/>
  </bookViews>
  <sheets>
    <sheet name="Arkusz1" sheetId="1" r:id="rId1"/>
  </sheets>
  <functionGroups builtInGroupCount="19"/>
  <definedNames>
    <definedName name="_xlchart.v2.0" hidden="1">Arkusz1!$E$4:$E$7</definedName>
    <definedName name="_xlchart.v2.1" hidden="1">Arkusz1!$F$4:$F$7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4" i="1" l="1" a="1"/>
  <c r="J13" i="1" a="1"/>
  <c r="J15" i="1" a="1"/>
  <c r="J14" i="1" a="1"/>
  <c r="J16" i="1" a="1"/>
  <c r="J12" i="1" a="1"/>
  <c r="I13" i="1" a="1"/>
  <c r="I15" i="1" a="1"/>
  <c r="I16" i="1" a="1"/>
  <c r="I14" i="1" a="1"/>
  <c r="I12" i="1" a="1"/>
  <c r="F13" i="1" a="1"/>
  <c r="F15" i="1" a="1"/>
  <c r="F16" i="1" a="1"/>
  <c r="F14" i="1" a="1"/>
  <c r="F12" i="1" a="1"/>
  <c r="E13" i="1" a="1"/>
  <c r="E15" i="1" a="1"/>
  <c r="E16" i="1" a="1"/>
  <c r="E12" i="1" a="1"/>
  <c r="J7" i="1" a="1"/>
  <c r="J6" i="1" a="1"/>
  <c r="J5" i="1" a="1"/>
  <c r="J4" i="1" a="1"/>
  <c r="I7" i="1" a="1"/>
  <c r="I6" i="1" a="1"/>
  <c r="I5" i="1" a="1"/>
  <c r="I4" i="1" a="1"/>
  <c r="H7" i="1" a="1"/>
  <c r="H6" i="1" a="1"/>
  <c r="H5" i="1" a="1"/>
  <c r="H4" i="1" a="1"/>
  <c r="E14" i="1" l="1"/>
  <c r="J16" i="1"/>
  <c r="J14" i="1"/>
  <c r="J15" i="1"/>
  <c r="J13" i="1"/>
  <c r="M13" i="1" s="1"/>
  <c r="J12" i="1"/>
  <c r="I14" i="1"/>
  <c r="I16" i="1"/>
  <c r="I15" i="1"/>
  <c r="I13" i="1"/>
  <c r="I12" i="1"/>
  <c r="F14" i="1"/>
  <c r="F16" i="1"/>
  <c r="F15" i="1"/>
  <c r="F13" i="1"/>
  <c r="F12" i="1"/>
  <c r="E16" i="1"/>
  <c r="E15" i="1"/>
  <c r="E13" i="1"/>
  <c r="E12" i="1"/>
  <c r="J7" i="1"/>
  <c r="J6" i="1"/>
  <c r="J5" i="1"/>
  <c r="J4" i="1"/>
  <c r="I7" i="1"/>
  <c r="I6" i="1"/>
  <c r="I5" i="1"/>
  <c r="I4" i="1"/>
  <c r="H7" i="1"/>
  <c r="H6" i="1"/>
  <c r="H5" i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<sst xmlns="http://schemas.openxmlformats.org/spreadsheetml/2006/main" count="21" uniqueCount="20">
  <si>
    <t>X_mm</t>
  </si>
  <si>
    <t>Y_mm</t>
  </si>
  <si>
    <t>t</t>
  </si>
  <si>
    <t>np.</t>
  </si>
  <si>
    <t>dN/dE</t>
  </si>
  <si>
    <t>dN/dn</t>
  </si>
  <si>
    <t>x</t>
  </si>
  <si>
    <t>y</t>
  </si>
  <si>
    <t>e</t>
  </si>
  <si>
    <t>n</t>
  </si>
  <si>
    <t>j</t>
  </si>
  <si>
    <t>P</t>
  </si>
  <si>
    <t>P1</t>
  </si>
  <si>
    <t>P2</t>
  </si>
  <si>
    <t>P3</t>
  </si>
  <si>
    <t>P4</t>
  </si>
  <si>
    <t>S</t>
  </si>
  <si>
    <t>mm2</t>
  </si>
  <si>
    <t>Numer węzła</t>
  </si>
  <si>
    <t>Wykres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</si>
</sst>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Border="1"/>
    <xf numFmtId="0" fontId="0" fillId="0" borderId="1" xfId="0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Arkusz1!$E$4:$E$7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</c:numCache>
            </c:numRef>
          </c:xVal>
          <c:yVal>
            <c:numRef>
              <c:f>Arkusz1!$F$4:$F$7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EF-4E4C-BDDA-9C9228C76B8B}"/>
            </c:ext>
          </c:extLst>
        </c:ser>
        <c:ser>
          <c:idx val="1"/>
          <c:order val="1"/>
          <c:tx>
            <c:v>Dane2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Arkusz1!$E$13:$E$16</c:f>
              <c:numCache>
                <c:formatCode>General</c:formatCode>
                <c:ptCount val="4"/>
                <c:pt idx="0">
                  <c:v>1.0119667443749998</c:v>
                </c:pt>
                <c:pt idx="1">
                  <c:v>0.88995825562499986</c:v>
                </c:pt>
                <c:pt idx="2">
                  <c:v>3.3213667443750001</c:v>
                </c:pt>
                <c:pt idx="3">
                  <c:v>3.776708255625</c:v>
                </c:pt>
              </c:numCache>
            </c:numRef>
          </c:xVal>
          <c:yVal>
            <c:numRef>
              <c:f>Arkusz1!$F$13:$F$16</c:f>
              <c:numCache>
                <c:formatCode>General</c:formatCode>
                <c:ptCount val="4"/>
                <c:pt idx="0">
                  <c:v>0.88995825562499986</c:v>
                </c:pt>
                <c:pt idx="1">
                  <c:v>3.3213667443750001</c:v>
                </c:pt>
                <c:pt idx="2">
                  <c:v>3.776708255625</c:v>
                </c:pt>
                <c:pt idx="3">
                  <c:v>1.0119667443749998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EF-4E4C-BDDA-9C9228C76B8B}"/>
            </c:ext>
          </c:extLst>
        </c:ser>
        <c:ser>
          <c:idx val="2"/>
          <c:order val="2"/>
          <c:tx>
            <c:v>Dane3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Arkusz1!$E$12</c:f>
              <c:numCache>
                <c:formatCode>General</c:formatCode>
                <c:ptCount val="1"/>
                <c:pt idx="0">
                  <c:v>2.25</c:v>
                </c:pt>
              </c:numCache>
            </c:numRef>
          </c:xVal>
          <c:yVal>
            <c:numRef>
              <c:f>Arkusz1!$F$12</c:f>
              <c:numCache>
                <c:formatCode>General</c:formatCode>
                <c:ptCount val="1"/>
                <c:pt idx="0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EF-4E4C-BDDA-9C9228C76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238928"/>
        <c:axId val="10477327"/>
      </c:scatterChart>
      <c:valAx>
        <c:axId val="206423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477327"/>
        <c:crosses val="autoZero"/>
        <c:crossBetween val="midCat"/>
      </c:valAx>
      <c:valAx>
        <c:axId val="104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423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18</xdr:row>
      <xdr:rowOff>63500</xdr:rowOff>
    </xdr:from>
    <xdr:to>
      <xdr:col>16</xdr:col>
      <xdr:colOff>355600</xdr:colOff>
      <xdr:row>33</xdr:row>
      <xdr:rowOff>25400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6E0E55DC-2419-1842-A333-A18A4E01E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492500"/>
          <a:ext cx="11328400" cy="2819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406400</xdr:colOff>
      <xdr:row>0</xdr:row>
      <xdr:rowOff>63500</xdr:rowOff>
    </xdr:from>
    <xdr:to>
      <xdr:col>15</xdr:col>
      <xdr:colOff>177800</xdr:colOff>
      <xdr:row>8</xdr:row>
      <xdr:rowOff>139700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D8F9043C-5372-7642-80FD-84B44415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48600" y="63500"/>
          <a:ext cx="3136900" cy="1600200"/>
        </a:xfrm>
        <a:prstGeom prst="rect">
          <a:avLst/>
        </a:prstGeom>
      </xdr:spPr>
    </xdr:pic>
    <xdr:clientData/>
  </xdr:twoCellAnchor>
  <xdr:twoCellAnchor>
    <xdr:from>
      <xdr:col>16</xdr:col>
      <xdr:colOff>304800</xdr:colOff>
      <xdr:row>7</xdr:row>
      <xdr:rowOff>101600</xdr:rowOff>
    </xdr:from>
    <xdr:to>
      <xdr:col>23</xdr:col>
      <xdr:colOff>165100</xdr:colOff>
      <xdr:row>21</xdr:row>
      <xdr:rowOff>177800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ACA0170C-93E2-E942-B573-027C700B4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1BBF1-7070-4CC5-8A2C-E328AD003C2D}">
  <sheetPr codeName="Arkusz1"/>
  <dimension ref="D3:R19"/>
  <sheetViews>
    <sheetView tabSelected="1" topLeftCell="D1" workbookViewId="0">
      <selection activeCell="J9" sqref="J9"/>
    </sheetView>
  </sheetViews>
  <sheetFormatPr baseColWidth="10" defaultColWidth="8.83203125" defaultRowHeight="15" x14ac:dyDescent="0.2"/>
  <cols>
    <col min="2" max="2" width="14.1640625" customWidth="1"/>
    <col min="3" max="3" width="5.6640625" customWidth="1"/>
    <col min="4" max="4" width="13.83203125" customWidth="1"/>
    <col min="5" max="5" width="9.83203125" bestFit="1" customWidth="1"/>
    <col min="8" max="10" width="9.83203125" bestFit="1" customWidth="1"/>
  </cols>
  <sheetData>
    <row r="3" spans="4:18" x14ac:dyDescent="0.2">
      <c r="D3" s="2" t="s">
        <v>18</v>
      </c>
      <c r="E3" s="2" t="s">
        <v>0</v>
      </c>
      <c r="F3" s="2" t="s">
        <v>1</v>
      </c>
      <c r="G3" s="2" t="s">
        <v>2</v>
      </c>
      <c r="H3" s="2" t="s">
        <v>3</v>
      </c>
      <c r="I3" s="2" t="s">
        <v>4</v>
      </c>
      <c r="J3" s="2" t="s">
        <v>5</v>
      </c>
    </row>
    <row r="4" spans="4:18" x14ac:dyDescent="0.2">
      <c r="D4" s="4">
        <v>1</v>
      </c>
      <c r="E4" s="2">
        <v>0</v>
      </c>
      <c r="F4" s="2">
        <v>0</v>
      </c>
      <c r="G4" s="2">
        <v>100</v>
      </c>
      <c r="H4" s="1" cm="1">
        <f t="array" ref="H4">shapeN1(G12,H12)</f>
        <v>0.25</v>
      </c>
      <c r="I4" s="1" cm="1">
        <f t="array" ref="I4">dN1dE(G12,H12)</f>
        <v>-0.25</v>
      </c>
      <c r="J4" s="1" cm="1">
        <f t="array" ref="J4">dN1dN(G12,H12)</f>
        <v>-0.25</v>
      </c>
    </row>
    <row r="5" spans="4:18" x14ac:dyDescent="0.2">
      <c r="D5" s="4">
        <v>2</v>
      </c>
      <c r="E5" s="2">
        <v>5</v>
      </c>
      <c r="F5" s="2">
        <v>0</v>
      </c>
      <c r="G5" s="2">
        <v>100</v>
      </c>
      <c r="H5" s="1" cm="1">
        <f t="array" ref="H5">shapeN2(G12,H12)</f>
        <v>0.25</v>
      </c>
      <c r="I5" s="1" cm="1">
        <f t="array" ref="I5">dN2dE(G12,H12)</f>
        <v>0.25</v>
      </c>
      <c r="J5" s="1" cm="1">
        <f t="array" ref="J5">dN2dN(G12,H12)</f>
        <v>-0.25</v>
      </c>
    </row>
    <row r="6" spans="4:18" x14ac:dyDescent="0.2">
      <c r="D6" s="4">
        <v>3</v>
      </c>
      <c r="E6" s="2">
        <v>4</v>
      </c>
      <c r="F6" s="2">
        <v>5</v>
      </c>
      <c r="G6" s="2">
        <v>100</v>
      </c>
      <c r="H6" s="1" cm="1">
        <f t="array" ref="H6">shapeN3(G12,H12)</f>
        <v>0.25</v>
      </c>
      <c r="I6" s="1" cm="1">
        <f t="array" ref="I6">dN3dE(G12,H12)</f>
        <v>0.25</v>
      </c>
      <c r="J6" s="1" cm="1">
        <f t="array" ref="J6">dN3dN(G12,H12)</f>
        <v>0.25</v>
      </c>
    </row>
    <row r="7" spans="4:18" x14ac:dyDescent="0.2">
      <c r="D7" s="4">
        <v>4</v>
      </c>
      <c r="E7" s="2">
        <v>0</v>
      </c>
      <c r="F7" s="2">
        <v>4</v>
      </c>
      <c r="G7" s="2">
        <v>100</v>
      </c>
      <c r="H7" s="1" cm="1">
        <f t="array" ref="H7">shapeN4(G12,H12)</f>
        <v>0.25</v>
      </c>
      <c r="I7" s="1" cm="1">
        <f t="array" ref="I7">dN4dE(G12,H12)</f>
        <v>-0.25</v>
      </c>
      <c r="J7" s="1" cm="1">
        <f t="array" ref="J7">dN4dN(G12,H12)</f>
        <v>0.25</v>
      </c>
      <c r="R7" t="s">
        <v>19</v>
      </c>
    </row>
    <row r="11" spans="4:18" x14ac:dyDescent="0.2">
      <c r="D11" s="2"/>
      <c r="E11" s="2" t="s">
        <v>6</v>
      </c>
      <c r="F11" s="2" t="s">
        <v>7</v>
      </c>
      <c r="G11" s="2" t="s">
        <v>8</v>
      </c>
      <c r="H11" s="2" t="s">
        <v>9</v>
      </c>
      <c r="I11" s="2" t="s">
        <v>2</v>
      </c>
      <c r="J11" s="2" t="s">
        <v>10</v>
      </c>
    </row>
    <row r="12" spans="4:18" x14ac:dyDescent="0.2">
      <c r="D12" s="2" t="s">
        <v>11</v>
      </c>
      <c r="E12" s="1" cm="1">
        <f t="array" ref="E12">Temperatura(G12,H12,$E$4,$E$5,$E$6,$E$7)</f>
        <v>2.25</v>
      </c>
      <c r="F12" s="1" cm="1">
        <f t="array" ref="F12">Temperatura(G12,H12,$F$4,$F$5,$F$6,$F$7)</f>
        <v>2.25</v>
      </c>
      <c r="G12" s="2">
        <v>0</v>
      </c>
      <c r="H12" s="2">
        <v>0</v>
      </c>
      <c r="I12" s="1" cm="1">
        <f t="array" ref="I12">Temperatura($G$12,$H$12,$G$4,$G$5,$G$6,$G$7)</f>
        <v>100</v>
      </c>
      <c r="J12" s="1" cm="1">
        <f t="array" ref="J12">DetJ($G$12,$H$12,$E$4,$E$5,$E$6,$E$7,$F$4,$F$5,$F$6,$F$7)</f>
        <v>5.125</v>
      </c>
    </row>
    <row r="13" spans="4:18" x14ac:dyDescent="0.2">
      <c r="D13" s="2" t="s">
        <v>12</v>
      </c>
      <c r="E13" s="1" cm="1">
        <f t="array" ref="E13">Temperatura(G13,H13,$E$4,$E$5,$E$6,$E$7)</f>
        <v>1.0119667443749998</v>
      </c>
      <c r="F13" s="1" cm="1">
        <f t="array" ref="F13">Temperatura(G13,H13,$F$4,$F$5,$F$6,$F$7)</f>
        <v>0.88995825562499986</v>
      </c>
      <c r="G13" s="2">
        <v>-0.57735000000000003</v>
      </c>
      <c r="H13" s="2">
        <v>-0.57735000000000003</v>
      </c>
      <c r="I13" s="1" cm="1">
        <f t="array" ref="I13">Temperatura($G$12,$H$12,$G$4,$G$5,$G$6,$G$7)</f>
        <v>100</v>
      </c>
      <c r="J13" s="1" cm="1">
        <f t="array" ref="J13">DetJ($G$12,$H$12,$E$4,$E$5,$E$6,$E$7,$F$4,$F$5,$F$6,$F$7)</f>
        <v>5.125</v>
      </c>
      <c r="L13" s="2" t="s">
        <v>16</v>
      </c>
      <c r="M13" s="1">
        <f>SUM(J13:J16)</f>
        <v>20.5</v>
      </c>
      <c r="N13" s="2" t="s">
        <v>17</v>
      </c>
    </row>
    <row r="14" spans="4:18" x14ac:dyDescent="0.2">
      <c r="D14" s="2" t="s">
        <v>13</v>
      </c>
      <c r="E14" s="1" cm="1">
        <f t="array" ref="E14">Temperatura(G14,H14,E4,E5,E6,E7)</f>
        <v>0.88995825562499986</v>
      </c>
      <c r="F14" s="1" cm="1">
        <f t="array" ref="F14">Temperatura(G14,H14,$F$4,$F$5,$F$6,$F$7)</f>
        <v>3.3213667443750001</v>
      </c>
      <c r="G14" s="2">
        <v>0.57735000000000003</v>
      </c>
      <c r="H14" s="2">
        <v>-0.57735000000000003</v>
      </c>
      <c r="I14" s="1" cm="1">
        <f t="array" ref="I14">Temperatura($G$12,$H$12,$G$4,$G$5,$G$6,$G$7)</f>
        <v>100</v>
      </c>
      <c r="J14" s="1" cm="1">
        <f t="array" ref="J14">DetJ($G$12,$H$12,$E$4,$E$5,$E$6,$E$7,$F$4,$F$5,$F$6,$F$7)</f>
        <v>5.125</v>
      </c>
    </row>
    <row r="15" spans="4:18" x14ac:dyDescent="0.2">
      <c r="D15" s="2" t="s">
        <v>14</v>
      </c>
      <c r="E15" s="1" cm="1">
        <f t="array" ref="E15">Temperatura(G15,H15,$E$4,$E$5,$E$6,$E$7)</f>
        <v>3.3213667443750001</v>
      </c>
      <c r="F15" s="1" cm="1">
        <f t="array" ref="F15">Temperatura(G15,H15,$F$4,$F$5,$F$6,$F$7)</f>
        <v>3.776708255625</v>
      </c>
      <c r="G15" s="2">
        <v>0.57735000000000003</v>
      </c>
      <c r="H15" s="2">
        <v>0.57735000000000003</v>
      </c>
      <c r="I15" s="1" cm="1">
        <f t="array" ref="I15">Temperatura($G$12,$H$12,$G$4,$G$5,$G$6,$G$7)</f>
        <v>100</v>
      </c>
      <c r="J15" s="1" cm="1">
        <f t="array" ref="J15">DetJ($G$12,$H$12,$E$4,$E$5,$E$6,$E$7,$F$4,$F$5,$F$6,$F$7)</f>
        <v>5.125</v>
      </c>
    </row>
    <row r="16" spans="4:18" x14ac:dyDescent="0.2">
      <c r="D16" s="2" t="s">
        <v>15</v>
      </c>
      <c r="E16" s="1" cm="1">
        <f t="array" ref="E16">Temperatura(G16,H16,$E$4,$E$5,$E$6,$E$7)</f>
        <v>3.776708255625</v>
      </c>
      <c r="F16" s="1" cm="1">
        <f t="array" ref="F16">Temperatura(G16,H16,$F$4,$F$5,$F$6,$F$7)</f>
        <v>1.0119667443749998</v>
      </c>
      <c r="G16" s="2">
        <v>-0.57735000000000003</v>
      </c>
      <c r="H16" s="2">
        <v>0.57735000000000003</v>
      </c>
      <c r="I16" s="1" cm="1">
        <f t="array" ref="I16">Temperatura($G$12,$H$12,$G$4,$G$5,$G$6,$G$7)</f>
        <v>100</v>
      </c>
      <c r="J16" s="1" cm="1">
        <f t="array" ref="J16">DetJ($G$12,$H$12,$E$4,$E$5,$E$6,$E$7,$F$4,$F$5,$F$6,$F$7)</f>
        <v>5.125</v>
      </c>
    </row>
    <row r="19" spans="13:15" x14ac:dyDescent="0.2">
      <c r="M19" s="3"/>
      <c r="N19" s="3"/>
      <c r="O19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Szymon Sawis</dc:creator>
  <cp:keywords/>
  <dc:description/>
  <cp:lastModifiedBy>Szymon Michoń</cp:lastModifiedBy>
  <cp:revision/>
  <dcterms:created xsi:type="dcterms:W3CDTF">2022-05-21T08:38:46Z</dcterms:created>
  <dcterms:modified xsi:type="dcterms:W3CDTF">2022-05-21T16:05:34Z</dcterms:modified>
  <cp:category/>
  <cp:contentStatus/>
</cp:coreProperties>
</file>